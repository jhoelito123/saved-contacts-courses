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Ale U\2026\Cursos\"/>
    </mc:Choice>
  </mc:AlternateContent>
  <xr:revisionPtr revIDLastSave="0" documentId="8_{E7F26350-F866-4930-B09C-73235736F9C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(C) Base de Datos" sheetId="1" r:id="rId1"/>
  </sheets>
  <calcPr calcId="191029"/>
</workbook>
</file>

<file path=xl/calcChain.xml><?xml version="1.0" encoding="utf-8"?>
<calcChain xmlns="http://schemas.openxmlformats.org/spreadsheetml/2006/main">
  <c r="G41" i="1" l="1"/>
  <c r="G40" i="1"/>
  <c r="J39" i="1"/>
  <c r="I39" i="1"/>
</calcChain>
</file>

<file path=xl/sharedStrings.xml><?xml version="1.0" encoding="utf-8"?>
<sst xmlns="http://schemas.openxmlformats.org/spreadsheetml/2006/main" count="168" uniqueCount="120">
  <si>
    <t xml:space="preserve"> </t>
  </si>
  <si>
    <t>CURSO:</t>
  </si>
  <si>
    <t>BASES DE DATOS RELACIONALES: DEL MODELADO A SQL</t>
  </si>
  <si>
    <t>INICIO:</t>
  </si>
  <si>
    <t>FIN:</t>
  </si>
  <si>
    <r>
      <rPr>
        <b/>
        <sz val="12"/>
        <color theme="1"/>
        <rFont val="Calibri, Arial"/>
      </rPr>
      <t>INSTRUCTOR:</t>
    </r>
    <r>
      <rPr>
        <sz val="12"/>
        <color theme="1"/>
        <rFont val="Calibri, Arial"/>
      </rPr>
      <t xml:space="preserve"> </t>
    </r>
  </si>
  <si>
    <t>ADAM JHOEL MAMANI</t>
  </si>
  <si>
    <t>COSTO:</t>
  </si>
  <si>
    <t>HORARIO:</t>
  </si>
  <si>
    <t>10:00 - 11:30</t>
  </si>
  <si>
    <t>AUXILIARES:</t>
  </si>
  <si>
    <t>Bs.</t>
  </si>
  <si>
    <t>SOLO 1 año atras</t>
  </si>
  <si>
    <t>UNIDAD:</t>
  </si>
  <si>
    <t>Laboratorios de Informatica-Sistemas</t>
  </si>
  <si>
    <t>ESTUDIANTES:</t>
  </si>
  <si>
    <t>PERIODO:</t>
  </si>
  <si>
    <t>OTROS:</t>
  </si>
  <si>
    <t>NRO</t>
  </si>
  <si>
    <t>COD-SIS</t>
  </si>
  <si>
    <t>CI</t>
  </si>
  <si>
    <t>APE_PAT</t>
  </si>
  <si>
    <t>APE_MAT</t>
  </si>
  <si>
    <t>NOMBRES</t>
  </si>
  <si>
    <t>CELULAR</t>
  </si>
  <si>
    <t>MONTO FISICO</t>
  </si>
  <si>
    <t>MONTO QR</t>
  </si>
  <si>
    <t>OBS</t>
  </si>
  <si>
    <t>FOTOCOPIA C.I</t>
  </si>
  <si>
    <t>Gonzales</t>
  </si>
  <si>
    <t>Orellana</t>
  </si>
  <si>
    <t>Britani Rossi</t>
  </si>
  <si>
    <t>no</t>
  </si>
  <si>
    <t>Mamani</t>
  </si>
  <si>
    <t>Valdez</t>
  </si>
  <si>
    <t>Andrea Guadalupe</t>
  </si>
  <si>
    <t>Espinoza</t>
  </si>
  <si>
    <t>Herrera</t>
  </si>
  <si>
    <t xml:space="preserve">Samuel Jose </t>
  </si>
  <si>
    <t>si</t>
  </si>
  <si>
    <t>EXTERNO</t>
  </si>
  <si>
    <t>Martinez</t>
  </si>
  <si>
    <t>Alfaro</t>
  </si>
  <si>
    <t>Daira Aneli</t>
  </si>
  <si>
    <t>RESERVA</t>
  </si>
  <si>
    <t>lunes pagara</t>
  </si>
  <si>
    <t>X</t>
  </si>
  <si>
    <t>Leandro Nicolas</t>
  </si>
  <si>
    <t>Soto</t>
  </si>
  <si>
    <t>Marañon</t>
  </si>
  <si>
    <t>Astrid Victoria</t>
  </si>
  <si>
    <t>x</t>
  </si>
  <si>
    <t>Ramírez</t>
  </si>
  <si>
    <t>Rivas</t>
  </si>
  <si>
    <t>Paola Andrea</t>
  </si>
  <si>
    <t>Ortuño</t>
  </si>
  <si>
    <t>Ordoñez</t>
  </si>
  <si>
    <t>Saul Benjamin</t>
  </si>
  <si>
    <t>8778671-1C</t>
  </si>
  <si>
    <t>Heredia</t>
  </si>
  <si>
    <t>Eric Joan</t>
  </si>
  <si>
    <t>Torrico</t>
  </si>
  <si>
    <t>Michelle Jael</t>
  </si>
  <si>
    <t>Cuiza</t>
  </si>
  <si>
    <t>Laime</t>
  </si>
  <si>
    <t>Gustavo</t>
  </si>
  <si>
    <t>Avis</t>
  </si>
  <si>
    <t>Ferrel</t>
  </si>
  <si>
    <t>Alejandra Carolina</t>
  </si>
  <si>
    <t>Cabero</t>
  </si>
  <si>
    <t>Tapia</t>
  </si>
  <si>
    <t>Pablo</t>
  </si>
  <si>
    <t>Tuco</t>
  </si>
  <si>
    <t>Torrez</t>
  </si>
  <si>
    <t>Victor Hugo</t>
  </si>
  <si>
    <t>Rivera</t>
  </si>
  <si>
    <t>Toroya</t>
  </si>
  <si>
    <t>Edwin</t>
  </si>
  <si>
    <t>Flores</t>
  </si>
  <si>
    <t>Fausto</t>
  </si>
  <si>
    <t>Si</t>
  </si>
  <si>
    <t>Choque</t>
  </si>
  <si>
    <t>Darwin Dario</t>
  </si>
  <si>
    <t xml:space="preserve">Salvatierra </t>
  </si>
  <si>
    <t xml:space="preserve">Arebalo </t>
  </si>
  <si>
    <t>Dennis Hernan</t>
  </si>
  <si>
    <t>Villca</t>
  </si>
  <si>
    <t>Condori</t>
  </si>
  <si>
    <t>Julieta Abigail</t>
  </si>
  <si>
    <t>Challapa</t>
  </si>
  <si>
    <t>Montaño</t>
  </si>
  <si>
    <t>Araceli Ivana</t>
  </si>
  <si>
    <t>Tenorio</t>
  </si>
  <si>
    <t>Clarios</t>
  </si>
  <si>
    <t>Jhon Antoni</t>
  </si>
  <si>
    <t>Apata</t>
  </si>
  <si>
    <t>Nicanor Franklin</t>
  </si>
  <si>
    <t>Escobar</t>
  </si>
  <si>
    <t>Zurita</t>
  </si>
  <si>
    <t>Brayan</t>
  </si>
  <si>
    <t>Rejas</t>
  </si>
  <si>
    <t>Chumacero</t>
  </si>
  <si>
    <t>Machzael Edwin</t>
  </si>
  <si>
    <t>Saravia</t>
  </si>
  <si>
    <t>Castro</t>
  </si>
  <si>
    <t>Sara Noelia</t>
  </si>
  <si>
    <t>Almanza</t>
  </si>
  <si>
    <t>Zambrana</t>
  </si>
  <si>
    <t>Alejandro</t>
  </si>
  <si>
    <t>Pinaya</t>
  </si>
  <si>
    <t>Chacapacha</t>
  </si>
  <si>
    <t>Aymi Sleydi</t>
  </si>
  <si>
    <t>Aux. Pract. 1-26</t>
  </si>
  <si>
    <t>paga lunes</t>
  </si>
  <si>
    <t>Antezana</t>
  </si>
  <si>
    <t>Alvarez</t>
  </si>
  <si>
    <t>Karen</t>
  </si>
  <si>
    <t>Importe Total:</t>
  </si>
  <si>
    <t>Bs</t>
  </si>
  <si>
    <t>Total Inscritos: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</si>
</sst>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\-yyyy"/>
  </numFmts>
  <fonts count="15">
    <font>
      <sz val="10"/>
      <color rgb="FF000000"/>
      <name val="Arial"/>
      <scheme val="minor"/>
    </font>
    <font>
      <sz val="10"/>
      <color theme="1"/>
      <name val="Arial"/>
    </font>
    <font>
      <sz val="24"/>
      <color theme="1"/>
      <name val="Calibri"/>
    </font>
    <font>
      <b/>
      <sz val="18"/>
      <color theme="1"/>
      <name val="Calibri"/>
    </font>
    <font>
      <sz val="18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2"/>
      <color rgb="FFFFFFFF"/>
      <name val="Calibri"/>
    </font>
    <font>
      <b/>
      <sz val="12"/>
      <color theme="1"/>
      <name val="Calibri, Arial"/>
    </font>
    <font>
      <sz val="12"/>
      <color theme="1"/>
      <name val="Calibri, 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" fillId="0" borderId="4" xfId="0" applyFont="1" applyBorder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/>
    <xf numFmtId="0" fontId="9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/>
    <xf numFmtId="0" fontId="9" fillId="0" borderId="5" xfId="0" applyFont="1" applyBorder="1" applyAlignment="1">
      <alignment wrapText="1"/>
    </xf>
    <xf numFmtId="0" fontId="1" fillId="0" borderId="5" xfId="0" applyFont="1" applyBorder="1"/>
    <xf numFmtId="0" fontId="1" fillId="0" borderId="5" xfId="0" applyFont="1" applyBorder="1" applyAlignment="1"/>
    <xf numFmtId="0" fontId="10" fillId="0" borderId="5" xfId="0" applyFont="1" applyBorder="1"/>
    <xf numFmtId="0" fontId="9" fillId="0" borderId="5" xfId="0" applyFont="1" applyBorder="1"/>
    <xf numFmtId="0" fontId="10" fillId="0" borderId="5" xfId="0" applyFont="1" applyBorder="1" applyAlignment="1">
      <alignment horizontal="center"/>
    </xf>
    <xf numFmtId="0" fontId="9" fillId="0" borderId="6" xfId="0" applyFont="1" applyBorder="1" applyAlignment="1"/>
    <xf numFmtId="0" fontId="9" fillId="0" borderId="9" xfId="0" applyFont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" fillId="0" borderId="5" xfId="0" applyFont="1" applyBorder="1" applyAlignment="1">
      <alignment horizontal="right"/>
    </xf>
    <xf numFmtId="0" fontId="7" fillId="0" borderId="10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0" xfId="0" applyFont="1" applyAlignment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164" fontId="7" fillId="0" borderId="0" xfId="0" applyNumberFormat="1" applyFont="1" applyAlignment="1">
      <alignment horizontal="center"/>
    </xf>
    <xf numFmtId="0" fontId="0" fillId="0" borderId="0" xfId="0"/>
    <xf numFmtId="0" fontId="1" fillId="0" borderId="0" xfId="0" applyFont="1"/>
    <xf numFmtId="0" fontId="7" fillId="0" borderId="0" xfId="0" applyFont="1" applyAlignment="1">
      <alignment wrapText="1"/>
    </xf>
    <xf numFmtId="165" fontId="7" fillId="0" borderId="4" xfId="0" applyNumberFormat="1" applyFont="1" applyBorder="1" applyAlignment="1">
      <alignment horizontal="center" wrapText="1"/>
    </xf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1"/>
  <sheetViews>
    <sheetView tabSelected="1" workbookViewId="0"/>
  </sheetViews>
  <sheetFormatPr baseColWidth="10" defaultColWidth="12.6640625" defaultRowHeight="15.75" customHeight="1"/>
  <cols>
    <col min="7" max="7" width="18.21875" customWidth="1"/>
    <col min="8" max="8" width="14.2187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>
      <c r="A2" s="1"/>
      <c r="B2" s="2" t="s">
        <v>0</v>
      </c>
      <c r="C2" s="3" t="s">
        <v>1</v>
      </c>
      <c r="D2" s="43" t="s">
        <v>2</v>
      </c>
      <c r="E2" s="44"/>
      <c r="F2" s="44"/>
      <c r="G2" s="44"/>
      <c r="H2" s="44"/>
      <c r="I2" s="44"/>
      <c r="J2" s="1"/>
      <c r="K2" s="4"/>
      <c r="L2" s="1"/>
      <c r="M2" s="1"/>
      <c r="N2" s="1"/>
      <c r="O2" s="1"/>
      <c r="P2" s="1"/>
      <c r="Q2" s="1"/>
      <c r="R2" s="1"/>
    </row>
    <row r="3" spans="1:18" ht="15.75" customHeight="1">
      <c r="A3" s="1"/>
      <c r="B3" s="5"/>
      <c r="C3" s="1"/>
      <c r="D3" s="1"/>
      <c r="E3" s="6" t="s">
        <v>3</v>
      </c>
      <c r="F3" s="45">
        <v>46209</v>
      </c>
      <c r="G3" s="46"/>
      <c r="H3" s="6" t="s">
        <v>4</v>
      </c>
      <c r="I3" s="45">
        <v>46223</v>
      </c>
      <c r="J3" s="46"/>
      <c r="K3" s="46"/>
      <c r="L3" s="1"/>
      <c r="M3" s="1"/>
      <c r="N3" s="1"/>
      <c r="O3" s="1"/>
      <c r="P3" s="1"/>
      <c r="Q3" s="1"/>
      <c r="R3" s="1"/>
    </row>
    <row r="4" spans="1:18" ht="15.75" customHeight="1">
      <c r="A4" s="1"/>
      <c r="B4" s="1"/>
      <c r="C4" s="7" t="s">
        <v>5</v>
      </c>
      <c r="D4" s="47" t="s">
        <v>6</v>
      </c>
      <c r="E4" s="46"/>
      <c r="F4" s="46"/>
      <c r="G4" s="1"/>
      <c r="H4" s="8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customHeight="1">
      <c r="A5" s="1"/>
      <c r="B5" s="1"/>
      <c r="C5" s="7" t="s">
        <v>8</v>
      </c>
      <c r="D5" s="9" t="s">
        <v>9</v>
      </c>
      <c r="E5" s="1"/>
      <c r="F5" s="10"/>
      <c r="G5" s="1"/>
      <c r="H5" s="8" t="s">
        <v>10</v>
      </c>
      <c r="I5" s="9" t="s">
        <v>11</v>
      </c>
      <c r="J5" s="9">
        <v>40</v>
      </c>
      <c r="K5" s="1" t="s">
        <v>12</v>
      </c>
      <c r="L5" s="1"/>
      <c r="M5" s="1"/>
      <c r="N5" s="1"/>
      <c r="O5" s="1"/>
      <c r="P5" s="1"/>
      <c r="Q5" s="1"/>
      <c r="R5" s="1"/>
    </row>
    <row r="6" spans="1:18" ht="15.75" customHeight="1">
      <c r="A6" s="1"/>
      <c r="B6" s="1"/>
      <c r="C6" s="7" t="s">
        <v>13</v>
      </c>
      <c r="D6" s="48" t="s">
        <v>14</v>
      </c>
      <c r="E6" s="46"/>
      <c r="F6" s="46"/>
      <c r="G6" s="1"/>
      <c r="H6" s="8" t="s">
        <v>15</v>
      </c>
      <c r="I6" s="9" t="s">
        <v>11</v>
      </c>
      <c r="J6" s="9">
        <v>80</v>
      </c>
      <c r="K6" s="1"/>
      <c r="L6" s="1"/>
      <c r="M6" s="1"/>
      <c r="N6" s="1"/>
      <c r="O6" s="1"/>
      <c r="P6" s="1"/>
      <c r="Q6" s="1"/>
      <c r="R6" s="1"/>
    </row>
    <row r="7" spans="1:18" ht="15.75" customHeight="1">
      <c r="A7" s="1"/>
      <c r="B7" s="11"/>
      <c r="C7" s="12" t="s">
        <v>16</v>
      </c>
      <c r="D7" s="49">
        <v>46023</v>
      </c>
      <c r="E7" s="50"/>
      <c r="F7" s="11"/>
      <c r="G7" s="11"/>
      <c r="H7" s="13" t="s">
        <v>17</v>
      </c>
      <c r="I7" s="14" t="s">
        <v>11</v>
      </c>
      <c r="J7" s="14">
        <v>100</v>
      </c>
      <c r="K7" s="1"/>
      <c r="L7" s="1"/>
      <c r="M7" s="1"/>
      <c r="N7" s="1"/>
      <c r="O7" s="1"/>
      <c r="P7" s="1"/>
      <c r="Q7" s="1"/>
      <c r="R7" s="1"/>
    </row>
    <row r="8" spans="1:18" ht="15.75" customHeight="1">
      <c r="A8" s="1"/>
      <c r="B8" s="15" t="s">
        <v>18</v>
      </c>
      <c r="C8" s="15" t="s">
        <v>19</v>
      </c>
      <c r="D8" s="15" t="s">
        <v>20</v>
      </c>
      <c r="E8" s="15" t="s">
        <v>21</v>
      </c>
      <c r="F8" s="15" t="s">
        <v>22</v>
      </c>
      <c r="G8" s="15" t="s">
        <v>23</v>
      </c>
      <c r="H8" s="15" t="s">
        <v>24</v>
      </c>
      <c r="I8" s="15" t="s">
        <v>25</v>
      </c>
      <c r="J8" s="15" t="s">
        <v>26</v>
      </c>
      <c r="K8" s="15" t="s">
        <v>27</v>
      </c>
      <c r="L8" s="15" t="s">
        <v>28</v>
      </c>
      <c r="M8" s="1"/>
      <c r="N8" s="1"/>
      <c r="O8" s="1"/>
      <c r="P8" s="1"/>
      <c r="Q8" s="1"/>
      <c r="R8" s="1"/>
    </row>
    <row r="9" spans="1:18" ht="15.75" customHeight="1">
      <c r="A9" s="4" t="b">
        <v>0</v>
      </c>
      <c r="B9" s="16">
        <v>1</v>
      </c>
      <c r="C9" s="17">
        <v>202110834</v>
      </c>
      <c r="D9" s="18">
        <v>8716276</v>
      </c>
      <c r="E9" s="19" t="s">
        <v>29</v>
      </c>
      <c r="F9" s="20" t="s">
        <v>30</v>
      </c>
      <c r="G9" s="20" t="s">
        <v>31</v>
      </c>
      <c r="H9" s="17">
        <v>69521579</v>
      </c>
      <c r="I9" s="17"/>
      <c r="J9" s="21">
        <v>80</v>
      </c>
      <c r="K9" s="22"/>
      <c r="L9" s="23" t="s">
        <v>32</v>
      </c>
      <c r="M9" s="4" t="b">
        <v>0</v>
      </c>
      <c r="N9" s="1"/>
      <c r="O9" s="1"/>
      <c r="P9" s="1"/>
      <c r="Q9" s="1"/>
      <c r="R9" s="1"/>
    </row>
    <row r="10" spans="1:18" ht="15.75" customHeight="1">
      <c r="A10" s="4" t="b">
        <v>0</v>
      </c>
      <c r="B10" s="24">
        <v>2</v>
      </c>
      <c r="C10" s="25">
        <v>202005740</v>
      </c>
      <c r="D10" s="25">
        <v>8792829</v>
      </c>
      <c r="E10" s="26" t="s">
        <v>33</v>
      </c>
      <c r="F10" s="27" t="s">
        <v>34</v>
      </c>
      <c r="G10" s="26" t="s">
        <v>35</v>
      </c>
      <c r="H10" s="25">
        <v>63945187</v>
      </c>
      <c r="I10" s="23"/>
      <c r="J10" s="23">
        <v>80</v>
      </c>
      <c r="K10" s="28"/>
      <c r="L10" s="23" t="s">
        <v>32</v>
      </c>
      <c r="M10" s="4" t="b">
        <v>0</v>
      </c>
      <c r="N10" s="1"/>
      <c r="O10" s="1"/>
      <c r="P10" s="1"/>
      <c r="Q10" s="1"/>
      <c r="R10" s="1"/>
    </row>
    <row r="11" spans="1:18" ht="15.75" customHeight="1">
      <c r="A11" s="4" t="b">
        <v>0</v>
      </c>
      <c r="B11" s="16">
        <v>3</v>
      </c>
      <c r="C11" s="23">
        <v>202202078</v>
      </c>
      <c r="D11" s="23">
        <v>13623442</v>
      </c>
      <c r="E11" s="29" t="s">
        <v>36</v>
      </c>
      <c r="F11" s="29" t="s">
        <v>37</v>
      </c>
      <c r="G11" s="29" t="s">
        <v>38</v>
      </c>
      <c r="H11" s="23">
        <v>60768664</v>
      </c>
      <c r="I11" s="23"/>
      <c r="J11" s="23">
        <v>80</v>
      </c>
      <c r="K11" s="29"/>
      <c r="L11" s="23" t="s">
        <v>39</v>
      </c>
      <c r="M11" s="4" t="b">
        <v>0</v>
      </c>
      <c r="N11" s="1"/>
      <c r="O11" s="1"/>
      <c r="P11" s="1"/>
      <c r="Q11" s="1"/>
      <c r="R11" s="1"/>
    </row>
    <row r="12" spans="1:18" ht="15.75" customHeight="1">
      <c r="A12" s="4" t="b">
        <v>0</v>
      </c>
      <c r="B12" s="16">
        <v>4</v>
      </c>
      <c r="C12" s="25" t="s">
        <v>40</v>
      </c>
      <c r="D12" s="25">
        <v>14443436</v>
      </c>
      <c r="E12" s="26" t="s">
        <v>41</v>
      </c>
      <c r="F12" s="26" t="s">
        <v>42</v>
      </c>
      <c r="G12" s="26" t="s">
        <v>43</v>
      </c>
      <c r="H12" s="25">
        <v>60340224</v>
      </c>
      <c r="I12" s="23"/>
      <c r="J12" s="23" t="s">
        <v>44</v>
      </c>
      <c r="K12" s="30" t="s">
        <v>45</v>
      </c>
      <c r="L12" s="23"/>
      <c r="M12" s="4" t="b">
        <v>0</v>
      </c>
      <c r="N12" s="1" t="s">
        <v>46</v>
      </c>
      <c r="O12" s="1"/>
      <c r="P12" s="1"/>
      <c r="Q12" s="1"/>
      <c r="R12" s="1"/>
    </row>
    <row r="13" spans="1:18" ht="15.75" customHeight="1">
      <c r="A13" s="4" t="b">
        <v>0</v>
      </c>
      <c r="B13" s="24">
        <v>5</v>
      </c>
      <c r="C13" s="25" t="s">
        <v>40</v>
      </c>
      <c r="D13" s="25">
        <v>14443381</v>
      </c>
      <c r="E13" s="26" t="s">
        <v>41</v>
      </c>
      <c r="F13" s="26" t="s">
        <v>42</v>
      </c>
      <c r="G13" s="26" t="s">
        <v>47</v>
      </c>
      <c r="H13" s="25">
        <v>61617655</v>
      </c>
      <c r="I13" s="25"/>
      <c r="J13" s="23" t="s">
        <v>44</v>
      </c>
      <c r="K13" s="30" t="s">
        <v>45</v>
      </c>
      <c r="L13" s="23"/>
      <c r="M13" s="4" t="b">
        <v>0</v>
      </c>
      <c r="N13" s="1" t="s">
        <v>46</v>
      </c>
      <c r="O13" s="1"/>
      <c r="P13" s="1"/>
      <c r="Q13" s="1"/>
      <c r="R13" s="1"/>
    </row>
    <row r="14" spans="1:18" ht="15.75" customHeight="1">
      <c r="A14" s="4" t="b">
        <v>0</v>
      </c>
      <c r="B14" s="16">
        <v>6</v>
      </c>
      <c r="C14" s="25">
        <v>202600346</v>
      </c>
      <c r="D14" s="25">
        <v>13875323</v>
      </c>
      <c r="E14" s="26" t="s">
        <v>48</v>
      </c>
      <c r="F14" s="26" t="s">
        <v>49</v>
      </c>
      <c r="G14" s="26" t="s">
        <v>50</v>
      </c>
      <c r="H14" s="25">
        <v>70744944</v>
      </c>
      <c r="I14" s="23"/>
      <c r="J14" s="23" t="s">
        <v>44</v>
      </c>
      <c r="K14" s="28"/>
      <c r="L14" s="23"/>
      <c r="M14" s="4" t="b">
        <v>0</v>
      </c>
      <c r="N14" s="1" t="s">
        <v>51</v>
      </c>
      <c r="O14" s="1"/>
      <c r="P14" s="1"/>
      <c r="Q14" s="1"/>
      <c r="R14" s="1"/>
    </row>
    <row r="15" spans="1:18" ht="15.75" customHeight="1">
      <c r="A15" s="4" t="b">
        <v>0</v>
      </c>
      <c r="B15" s="16">
        <v>7</v>
      </c>
      <c r="C15" s="25">
        <v>201707874</v>
      </c>
      <c r="D15" s="25">
        <v>10016980</v>
      </c>
      <c r="E15" s="31" t="s">
        <v>52</v>
      </c>
      <c r="F15" s="31" t="s">
        <v>53</v>
      </c>
      <c r="G15" s="31" t="s">
        <v>54</v>
      </c>
      <c r="H15" s="25">
        <v>77453026</v>
      </c>
      <c r="I15" s="23"/>
      <c r="J15" s="25">
        <v>80</v>
      </c>
      <c r="K15" s="28"/>
      <c r="L15" s="23"/>
      <c r="M15" s="4" t="b">
        <v>0</v>
      </c>
      <c r="N15" s="1"/>
      <c r="O15" s="1"/>
      <c r="P15" s="1"/>
      <c r="Q15" s="1"/>
      <c r="R15" s="1"/>
    </row>
    <row r="16" spans="1:18" ht="15.75" customHeight="1">
      <c r="A16" s="4" t="b">
        <v>0</v>
      </c>
      <c r="B16" s="24">
        <v>8</v>
      </c>
      <c r="C16" s="25" t="s">
        <v>40</v>
      </c>
      <c r="D16" s="23">
        <v>12491093</v>
      </c>
      <c r="E16" s="28" t="s">
        <v>55</v>
      </c>
      <c r="F16" s="28" t="s">
        <v>56</v>
      </c>
      <c r="G16" s="28" t="s">
        <v>57</v>
      </c>
      <c r="H16" s="23">
        <v>77927668</v>
      </c>
      <c r="I16" s="23">
        <v>100</v>
      </c>
      <c r="J16" s="23"/>
      <c r="K16" s="28"/>
      <c r="L16" s="23" t="s">
        <v>39</v>
      </c>
      <c r="M16" s="4" t="b">
        <v>0</v>
      </c>
      <c r="N16" s="1"/>
      <c r="O16" s="1"/>
      <c r="P16" s="1"/>
      <c r="Q16" s="1"/>
      <c r="R16" s="1"/>
    </row>
    <row r="17" spans="1:18" ht="15.75" customHeight="1">
      <c r="A17" s="4" t="b">
        <v>0</v>
      </c>
      <c r="B17" s="16">
        <v>9</v>
      </c>
      <c r="C17" s="25">
        <v>202412809</v>
      </c>
      <c r="D17" s="25" t="s">
        <v>58</v>
      </c>
      <c r="E17" s="26" t="s">
        <v>59</v>
      </c>
      <c r="F17" s="26" t="s">
        <v>33</v>
      </c>
      <c r="G17" s="26" t="s">
        <v>60</v>
      </c>
      <c r="H17" s="25">
        <v>63879523</v>
      </c>
      <c r="I17" s="23"/>
      <c r="J17" s="23">
        <v>80</v>
      </c>
      <c r="K17" s="32"/>
      <c r="L17" s="23" t="s">
        <v>32</v>
      </c>
      <c r="M17" s="4" t="b">
        <v>0</v>
      </c>
      <c r="N17" s="1"/>
      <c r="O17" s="1"/>
      <c r="P17" s="1"/>
      <c r="Q17" s="1"/>
      <c r="R17" s="1"/>
    </row>
    <row r="18" spans="1:18" ht="15.75" customHeight="1">
      <c r="A18" s="4" t="b">
        <v>0</v>
      </c>
      <c r="B18" s="16">
        <v>10</v>
      </c>
      <c r="C18" s="25" t="s">
        <v>40</v>
      </c>
      <c r="D18" s="25">
        <v>13591407</v>
      </c>
      <c r="E18" s="26" t="s">
        <v>29</v>
      </c>
      <c r="F18" s="26" t="s">
        <v>61</v>
      </c>
      <c r="G18" s="26" t="s">
        <v>62</v>
      </c>
      <c r="H18" s="25">
        <v>68590861</v>
      </c>
      <c r="I18" s="23"/>
      <c r="J18" s="25">
        <v>100</v>
      </c>
      <c r="K18" s="28"/>
      <c r="L18" s="23" t="s">
        <v>39</v>
      </c>
      <c r="M18" s="4" t="b">
        <v>0</v>
      </c>
      <c r="N18" s="1"/>
      <c r="O18" s="1"/>
      <c r="P18" s="1"/>
      <c r="Q18" s="1"/>
      <c r="R18" s="1"/>
    </row>
    <row r="19" spans="1:18" ht="15.75" customHeight="1">
      <c r="A19" s="4" t="b">
        <v>0</v>
      </c>
      <c r="B19" s="24">
        <v>11</v>
      </c>
      <c r="C19" s="25" t="s">
        <v>40</v>
      </c>
      <c r="D19" s="23">
        <v>13875637</v>
      </c>
      <c r="E19" s="28" t="s">
        <v>63</v>
      </c>
      <c r="F19" s="28" t="s">
        <v>64</v>
      </c>
      <c r="G19" s="28" t="s">
        <v>65</v>
      </c>
      <c r="H19" s="23">
        <v>72299090</v>
      </c>
      <c r="I19" s="23"/>
      <c r="J19" s="23">
        <v>100</v>
      </c>
      <c r="K19" s="28"/>
      <c r="L19" s="23" t="s">
        <v>32</v>
      </c>
      <c r="M19" s="4" t="b">
        <v>0</v>
      </c>
      <c r="N19" s="1"/>
      <c r="O19" s="1"/>
      <c r="P19" s="1"/>
      <c r="Q19" s="1"/>
      <c r="R19" s="1"/>
    </row>
    <row r="20" spans="1:18" ht="15.75" customHeight="1">
      <c r="A20" s="4" t="b">
        <v>0</v>
      </c>
      <c r="B20" s="16">
        <v>12</v>
      </c>
      <c r="C20" s="25">
        <v>202402489</v>
      </c>
      <c r="D20" s="25">
        <v>8720880</v>
      </c>
      <c r="E20" s="33" t="s">
        <v>66</v>
      </c>
      <c r="F20" s="33" t="s">
        <v>67</v>
      </c>
      <c r="G20" s="33" t="s">
        <v>68</v>
      </c>
      <c r="H20" s="34">
        <v>79335630</v>
      </c>
      <c r="I20" s="21"/>
      <c r="J20" s="17">
        <v>80</v>
      </c>
      <c r="K20" s="28"/>
      <c r="L20" s="23" t="s">
        <v>32</v>
      </c>
      <c r="M20" s="4" t="b">
        <v>0</v>
      </c>
      <c r="N20" s="1"/>
      <c r="O20" s="1"/>
      <c r="P20" s="1"/>
      <c r="Q20" s="1"/>
      <c r="R20" s="1"/>
    </row>
    <row r="21" spans="1:18" ht="15.75" customHeight="1">
      <c r="A21" s="4" t="b">
        <v>0</v>
      </c>
      <c r="B21" s="16">
        <v>13</v>
      </c>
      <c r="C21" s="25">
        <v>201409193</v>
      </c>
      <c r="D21" s="25">
        <v>7027062</v>
      </c>
      <c r="E21" s="26" t="s">
        <v>69</v>
      </c>
      <c r="F21" s="26" t="s">
        <v>70</v>
      </c>
      <c r="G21" s="26" t="s">
        <v>71</v>
      </c>
      <c r="H21" s="25">
        <v>69500987</v>
      </c>
      <c r="I21" s="23">
        <v>80</v>
      </c>
      <c r="J21" s="23"/>
      <c r="K21" s="28"/>
      <c r="L21" s="23" t="s">
        <v>32</v>
      </c>
      <c r="M21" s="4" t="b">
        <v>0</v>
      </c>
      <c r="N21" s="1"/>
      <c r="O21" s="1"/>
      <c r="P21" s="1"/>
      <c r="Q21" s="1"/>
      <c r="R21" s="1"/>
    </row>
    <row r="22" spans="1:18" ht="15.75" customHeight="1">
      <c r="A22" s="4" t="b">
        <v>0</v>
      </c>
      <c r="B22" s="24">
        <v>14</v>
      </c>
      <c r="C22" s="25" t="s">
        <v>40</v>
      </c>
      <c r="D22" s="23">
        <v>8002254</v>
      </c>
      <c r="E22" s="28" t="s">
        <v>72</v>
      </c>
      <c r="F22" s="28" t="s">
        <v>73</v>
      </c>
      <c r="G22" s="28" t="s">
        <v>74</v>
      </c>
      <c r="H22" s="23">
        <v>72283564</v>
      </c>
      <c r="I22" s="23">
        <v>100</v>
      </c>
      <c r="J22" s="23"/>
      <c r="K22" s="28"/>
      <c r="L22" s="23" t="s">
        <v>39</v>
      </c>
      <c r="M22" s="4" t="b">
        <v>0</v>
      </c>
      <c r="N22" s="1"/>
      <c r="O22" s="1"/>
      <c r="P22" s="1"/>
      <c r="Q22" s="1"/>
      <c r="R22" s="1"/>
    </row>
    <row r="23" spans="1:18" ht="15.75" customHeight="1">
      <c r="A23" s="4" t="b">
        <v>0</v>
      </c>
      <c r="B23" s="16">
        <v>15</v>
      </c>
      <c r="C23" s="25" t="s">
        <v>40</v>
      </c>
      <c r="D23" s="25">
        <v>5307513</v>
      </c>
      <c r="E23" s="26" t="s">
        <v>75</v>
      </c>
      <c r="F23" s="26" t="s">
        <v>76</v>
      </c>
      <c r="G23" s="26" t="s">
        <v>77</v>
      </c>
      <c r="H23" s="25">
        <v>62666164</v>
      </c>
      <c r="I23" s="29"/>
      <c r="J23" s="23">
        <v>100</v>
      </c>
      <c r="K23" s="29"/>
      <c r="L23" s="23" t="s">
        <v>32</v>
      </c>
      <c r="M23" s="4" t="b">
        <v>0</v>
      </c>
      <c r="N23" s="1"/>
      <c r="O23" s="1"/>
      <c r="P23" s="1"/>
      <c r="Q23" s="1"/>
      <c r="R23" s="1"/>
    </row>
    <row r="24" spans="1:18" ht="15.75" customHeight="1">
      <c r="A24" s="4" t="b">
        <v>0</v>
      </c>
      <c r="B24" s="16">
        <v>16</v>
      </c>
      <c r="C24" s="25" t="s">
        <v>40</v>
      </c>
      <c r="D24" s="29">
        <v>9319431</v>
      </c>
      <c r="E24" s="29" t="s">
        <v>78</v>
      </c>
      <c r="F24" s="29" t="s">
        <v>78</v>
      </c>
      <c r="G24" s="29" t="s">
        <v>79</v>
      </c>
      <c r="H24" s="29">
        <v>62721741</v>
      </c>
      <c r="I24" s="29"/>
      <c r="J24" s="29">
        <v>100</v>
      </c>
      <c r="K24" s="28"/>
      <c r="L24" s="28" t="s">
        <v>80</v>
      </c>
      <c r="M24" s="4" t="b">
        <v>0</v>
      </c>
      <c r="N24" s="1"/>
      <c r="O24" s="1"/>
      <c r="P24" s="1"/>
      <c r="Q24" s="1"/>
      <c r="R24" s="1"/>
    </row>
    <row r="25" spans="1:18" ht="15.75" customHeight="1">
      <c r="A25" s="4" t="b">
        <v>0</v>
      </c>
      <c r="B25" s="24">
        <v>17</v>
      </c>
      <c r="C25" s="29">
        <v>202301615</v>
      </c>
      <c r="D25" s="29">
        <v>13994036</v>
      </c>
      <c r="E25" s="29" t="s">
        <v>81</v>
      </c>
      <c r="F25" s="29" t="s">
        <v>33</v>
      </c>
      <c r="G25" s="29" t="s">
        <v>82</v>
      </c>
      <c r="H25" s="29">
        <v>64868604</v>
      </c>
      <c r="I25" s="29">
        <v>80</v>
      </c>
      <c r="J25" s="29"/>
      <c r="K25" s="28"/>
      <c r="L25" s="28" t="s">
        <v>80</v>
      </c>
      <c r="M25" s="4" t="b">
        <v>0</v>
      </c>
      <c r="N25" s="1"/>
      <c r="O25" s="1"/>
      <c r="P25" s="1"/>
      <c r="Q25" s="1"/>
      <c r="R25" s="1"/>
    </row>
    <row r="26" spans="1:18" ht="15.75" customHeight="1">
      <c r="A26" s="4" t="b">
        <v>0</v>
      </c>
      <c r="B26" s="16">
        <v>18</v>
      </c>
      <c r="C26" s="29">
        <v>201810975</v>
      </c>
      <c r="D26" s="29">
        <v>13129721</v>
      </c>
      <c r="E26" s="29" t="s">
        <v>83</v>
      </c>
      <c r="F26" s="29" t="s">
        <v>84</v>
      </c>
      <c r="G26" s="29" t="s">
        <v>85</v>
      </c>
      <c r="H26" s="29">
        <v>75997452</v>
      </c>
      <c r="I26" s="29"/>
      <c r="J26" s="29">
        <v>80</v>
      </c>
      <c r="K26" s="28"/>
      <c r="L26" s="28" t="s">
        <v>32</v>
      </c>
      <c r="M26" s="4" t="b">
        <v>0</v>
      </c>
      <c r="N26" s="1" t="s">
        <v>51</v>
      </c>
      <c r="O26" s="1"/>
      <c r="P26" s="1"/>
      <c r="Q26" s="1"/>
      <c r="R26" s="1"/>
    </row>
    <row r="27" spans="1:18" ht="15.75" customHeight="1">
      <c r="A27" s="4" t="b">
        <v>0</v>
      </c>
      <c r="B27" s="16">
        <v>19</v>
      </c>
      <c r="C27" s="25" t="s">
        <v>40</v>
      </c>
      <c r="D27" s="29">
        <v>12682953</v>
      </c>
      <c r="E27" s="29" t="s">
        <v>86</v>
      </c>
      <c r="F27" s="29" t="s">
        <v>87</v>
      </c>
      <c r="G27" s="29" t="s">
        <v>88</v>
      </c>
      <c r="H27" s="29">
        <v>67539920</v>
      </c>
      <c r="I27" s="29"/>
      <c r="J27" s="29" t="s">
        <v>44</v>
      </c>
      <c r="K27" s="30" t="s">
        <v>45</v>
      </c>
      <c r="L27" s="28"/>
      <c r="M27" s="4" t="b">
        <v>0</v>
      </c>
      <c r="N27" s="1"/>
      <c r="O27" s="1"/>
      <c r="P27" s="1"/>
      <c r="Q27" s="1"/>
      <c r="R27" s="1"/>
    </row>
    <row r="28" spans="1:18" ht="15.6">
      <c r="A28" s="4" t="b">
        <v>0</v>
      </c>
      <c r="B28" s="24">
        <v>20</v>
      </c>
      <c r="C28" s="29">
        <v>202202886</v>
      </c>
      <c r="D28" s="29">
        <v>8592457</v>
      </c>
      <c r="E28" s="29" t="s">
        <v>89</v>
      </c>
      <c r="F28" s="29" t="s">
        <v>90</v>
      </c>
      <c r="G28" s="29" t="s">
        <v>91</v>
      </c>
      <c r="H28" s="29">
        <v>61680339</v>
      </c>
      <c r="I28" s="29"/>
      <c r="J28" s="29">
        <v>80</v>
      </c>
      <c r="K28" s="28"/>
      <c r="L28" s="28" t="s">
        <v>32</v>
      </c>
      <c r="M28" s="4" t="b">
        <v>0</v>
      </c>
      <c r="N28" s="1"/>
      <c r="O28" s="1"/>
      <c r="P28" s="1"/>
      <c r="Q28" s="1"/>
      <c r="R28" s="1"/>
    </row>
    <row r="29" spans="1:18" ht="15.6">
      <c r="A29" s="4" t="b">
        <v>0</v>
      </c>
      <c r="B29" s="16">
        <v>21</v>
      </c>
      <c r="C29" s="29" t="s">
        <v>40</v>
      </c>
      <c r="D29" s="29">
        <v>13320462</v>
      </c>
      <c r="E29" s="29" t="s">
        <v>92</v>
      </c>
      <c r="F29" s="29" t="s">
        <v>93</v>
      </c>
      <c r="G29" s="29" t="s">
        <v>94</v>
      </c>
      <c r="H29" s="29">
        <v>13320462</v>
      </c>
      <c r="I29" s="29">
        <v>100</v>
      </c>
      <c r="J29" s="29"/>
      <c r="K29" s="28"/>
      <c r="L29" s="28" t="s">
        <v>39</v>
      </c>
      <c r="M29" s="4" t="b">
        <v>0</v>
      </c>
      <c r="N29" s="1"/>
      <c r="O29" s="1"/>
      <c r="P29" s="1"/>
      <c r="Q29" s="1"/>
      <c r="R29" s="1"/>
    </row>
    <row r="30" spans="1:18" ht="15.6">
      <c r="A30" s="4" t="b">
        <v>0</v>
      </c>
      <c r="B30" s="16">
        <v>22</v>
      </c>
      <c r="C30" s="29" t="s">
        <v>40</v>
      </c>
      <c r="D30" s="35">
        <v>12344223</v>
      </c>
      <c r="E30" s="29" t="s">
        <v>95</v>
      </c>
      <c r="F30" s="29" t="s">
        <v>81</v>
      </c>
      <c r="G30" s="29" t="s">
        <v>96</v>
      </c>
      <c r="H30" s="29">
        <v>73831321</v>
      </c>
      <c r="I30" s="29"/>
      <c r="J30" s="29">
        <v>100</v>
      </c>
      <c r="K30" s="28"/>
      <c r="L30" s="28" t="s">
        <v>32</v>
      </c>
      <c r="M30" s="4" t="b">
        <v>0</v>
      </c>
      <c r="N30" s="1"/>
      <c r="O30" s="1"/>
      <c r="P30" s="1"/>
      <c r="Q30" s="1"/>
      <c r="R30" s="1"/>
    </row>
    <row r="31" spans="1:18" ht="15.6">
      <c r="A31" s="4" t="b">
        <v>0</v>
      </c>
      <c r="B31" s="24">
        <v>23</v>
      </c>
      <c r="C31" s="29">
        <v>202112913</v>
      </c>
      <c r="D31" s="35">
        <v>12524282</v>
      </c>
      <c r="E31" s="29" t="s">
        <v>97</v>
      </c>
      <c r="F31" s="29" t="s">
        <v>98</v>
      </c>
      <c r="G31" s="29" t="s">
        <v>99</v>
      </c>
      <c r="H31" s="29">
        <v>77407140</v>
      </c>
      <c r="I31" s="29"/>
      <c r="J31" s="29">
        <v>80</v>
      </c>
      <c r="K31" s="28"/>
      <c r="L31" s="28" t="s">
        <v>32</v>
      </c>
      <c r="M31" s="4" t="b">
        <v>0</v>
      </c>
    </row>
    <row r="32" spans="1:18" ht="15.6">
      <c r="A32" s="4" t="b">
        <v>0</v>
      </c>
      <c r="B32" s="16">
        <v>24</v>
      </c>
      <c r="C32" s="29">
        <v>201404510</v>
      </c>
      <c r="D32" s="29">
        <v>7217727</v>
      </c>
      <c r="E32" s="29" t="s">
        <v>100</v>
      </c>
      <c r="F32" s="29" t="s">
        <v>101</v>
      </c>
      <c r="G32" s="29" t="s">
        <v>102</v>
      </c>
      <c r="H32" s="29">
        <v>77441414</v>
      </c>
      <c r="I32" s="29">
        <v>80</v>
      </c>
      <c r="J32" s="29"/>
      <c r="K32" s="28"/>
      <c r="L32" s="28" t="s">
        <v>39</v>
      </c>
      <c r="M32" s="4" t="b">
        <v>0</v>
      </c>
    </row>
    <row r="33" spans="1:13" ht="15.6">
      <c r="A33" s="4" t="b">
        <v>0</v>
      </c>
      <c r="B33" s="16">
        <v>25</v>
      </c>
      <c r="C33" s="29">
        <v>202402287</v>
      </c>
      <c r="D33" s="29">
        <v>9341178</v>
      </c>
      <c r="E33" s="29" t="s">
        <v>103</v>
      </c>
      <c r="F33" s="29" t="s">
        <v>104</v>
      </c>
      <c r="G33" s="29" t="s">
        <v>105</v>
      </c>
      <c r="H33" s="29">
        <v>74445395</v>
      </c>
      <c r="I33" s="29"/>
      <c r="J33" s="29" t="s">
        <v>44</v>
      </c>
      <c r="K33" s="30" t="s">
        <v>45</v>
      </c>
      <c r="L33" s="28" t="s">
        <v>32</v>
      </c>
      <c r="M33" s="4" t="b">
        <v>0</v>
      </c>
    </row>
    <row r="34" spans="1:13" ht="15.6">
      <c r="A34" s="4" t="b">
        <v>0</v>
      </c>
      <c r="B34" s="24">
        <v>26</v>
      </c>
      <c r="C34" s="29" t="s">
        <v>40</v>
      </c>
      <c r="D34" s="29">
        <v>14267323</v>
      </c>
      <c r="E34" s="29" t="s">
        <v>106</v>
      </c>
      <c r="F34" s="29" t="s">
        <v>107</v>
      </c>
      <c r="G34" s="29" t="s">
        <v>108</v>
      </c>
      <c r="H34" s="29">
        <v>77459812</v>
      </c>
      <c r="I34" s="29"/>
      <c r="J34" s="29">
        <v>100</v>
      </c>
      <c r="K34" s="28"/>
      <c r="L34" s="28"/>
      <c r="M34" s="4" t="b">
        <v>0</v>
      </c>
    </row>
    <row r="35" spans="1:13" ht="15.6">
      <c r="A35" s="4" t="b">
        <v>0</v>
      </c>
      <c r="B35" s="16">
        <v>27</v>
      </c>
      <c r="C35" s="29">
        <v>202501540</v>
      </c>
      <c r="D35" s="29">
        <v>14421233</v>
      </c>
      <c r="E35" s="29" t="s">
        <v>109</v>
      </c>
      <c r="F35" s="29" t="s">
        <v>110</v>
      </c>
      <c r="G35" s="29" t="s">
        <v>111</v>
      </c>
      <c r="H35" s="29">
        <v>65331075</v>
      </c>
      <c r="I35" s="29"/>
      <c r="J35" s="29" t="s">
        <v>44</v>
      </c>
      <c r="K35" s="23" t="s">
        <v>112</v>
      </c>
      <c r="L35" s="30" t="s">
        <v>113</v>
      </c>
      <c r="M35" s="4" t="b">
        <v>0</v>
      </c>
    </row>
    <row r="36" spans="1:13" ht="15.6">
      <c r="A36" s="4" t="b">
        <v>0</v>
      </c>
      <c r="B36" s="16">
        <v>28</v>
      </c>
      <c r="C36" s="29" t="s">
        <v>40</v>
      </c>
      <c r="D36" s="29">
        <v>13524323</v>
      </c>
      <c r="E36" s="29" t="s">
        <v>114</v>
      </c>
      <c r="F36" s="29" t="s">
        <v>115</v>
      </c>
      <c r="G36" s="29" t="s">
        <v>116</v>
      </c>
      <c r="H36" s="29">
        <v>60354740</v>
      </c>
      <c r="I36" s="29"/>
      <c r="J36" s="29">
        <v>100</v>
      </c>
      <c r="K36" s="28"/>
      <c r="L36" s="28"/>
      <c r="M36" s="4" t="b">
        <v>0</v>
      </c>
    </row>
    <row r="37" spans="1:13" ht="15.6">
      <c r="A37" s="4" t="b">
        <v>0</v>
      </c>
      <c r="B37" s="16">
        <v>29</v>
      </c>
      <c r="C37" s="29"/>
      <c r="D37" s="29"/>
      <c r="E37" s="29"/>
      <c r="F37" s="29"/>
      <c r="G37" s="29"/>
      <c r="H37" s="29"/>
      <c r="I37" s="29"/>
      <c r="J37" s="29"/>
      <c r="K37" s="28"/>
      <c r="L37" s="28"/>
      <c r="M37" s="4" t="b">
        <v>0</v>
      </c>
    </row>
    <row r="38" spans="1:13" ht="15.6">
      <c r="A38" s="4" t="b">
        <v>0</v>
      </c>
      <c r="B38" s="16">
        <v>30</v>
      </c>
      <c r="C38" s="25"/>
      <c r="D38" s="25"/>
      <c r="E38" s="26"/>
      <c r="F38" s="26"/>
      <c r="G38" s="26"/>
      <c r="H38" s="25"/>
      <c r="I38" s="25"/>
      <c r="J38" s="29"/>
      <c r="K38" s="28"/>
      <c r="L38" s="23"/>
      <c r="M38" s="4" t="b">
        <v>0</v>
      </c>
    </row>
    <row r="39" spans="1:13" ht="15.6">
      <c r="A39" s="1"/>
      <c r="B39" s="36">
        <v>25</v>
      </c>
      <c r="C39" s="1"/>
      <c r="D39" s="1"/>
      <c r="E39" s="1"/>
      <c r="F39" s="1"/>
      <c r="G39" s="1"/>
      <c r="H39" s="1"/>
      <c r="I39" s="37">
        <f t="shared" ref="I39:J39" si="0">SUM(I9:I38)</f>
        <v>540</v>
      </c>
      <c r="J39" s="37">
        <f t="shared" si="0"/>
        <v>1420</v>
      </c>
      <c r="K39" s="1"/>
      <c r="L39" s="1"/>
      <c r="M39" s="1"/>
    </row>
    <row r="40" spans="1:13" ht="31.2">
      <c r="A40" s="1"/>
      <c r="B40" s="1"/>
      <c r="C40" s="1"/>
      <c r="D40" s="1"/>
      <c r="E40" s="1"/>
      <c r="F40" s="38" t="s">
        <v>117</v>
      </c>
      <c r="G40" s="39">
        <f>I39+J39</f>
        <v>1960</v>
      </c>
      <c r="H40" s="6" t="s">
        <v>118</v>
      </c>
      <c r="I40" s="1"/>
      <c r="J40" s="1"/>
      <c r="K40" s="1"/>
      <c r="L40" s="1"/>
      <c r="M40" s="1"/>
    </row>
    <row r="41" spans="1:13" ht="15.6">
      <c r="A41" s="1"/>
      <c r="B41" s="1"/>
      <c r="C41" s="1"/>
      <c r="D41" s="1"/>
      <c r="E41" s="1"/>
      <c r="F41" s="40" t="s">
        <v>119</v>
      </c>
      <c r="G41" s="41">
        <f ca="1">IFERROR(__xludf.DUMMYFUNCTION("COUNTUNIQUE(D9:D38)"),28)</f>
        <v>28</v>
      </c>
      <c r="H41" s="42"/>
      <c r="I41" s="1"/>
      <c r="J41" s="1"/>
      <c r="K41" s="1"/>
      <c r="L41" s="1"/>
      <c r="M41" s="1"/>
    </row>
  </sheetData>
  <mergeCells count="6">
    <mergeCell ref="D7:E7"/>
    <mergeCell ref="D2:I2"/>
    <mergeCell ref="F3:G3"/>
    <mergeCell ref="I3:K3"/>
    <mergeCell ref="D4:F4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(C) 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Alejandro Montaño L.</dc:creator>
  <cp:lastModifiedBy>Lenovo</cp:lastModifiedBy>
  <dcterms:created xsi:type="dcterms:W3CDTF">2026-07-05T14:06:22Z</dcterms:created>
  <dcterms:modified xsi:type="dcterms:W3CDTF">2026-07-05T14:06:22Z</dcterms:modified>
</cp:coreProperties>
</file>